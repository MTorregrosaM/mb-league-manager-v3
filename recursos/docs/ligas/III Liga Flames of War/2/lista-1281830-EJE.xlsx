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16380" windowHeight="8190"/>
  </bookViews>
  <sheets>
    <sheet name="Aliados" sheetId="5" r:id="rId1"/>
  </sheets>
  <definedNames>
    <definedName name="_xlnm.Print_Area" localSheetId="0">Aliados!$A$1:$G$52</definedName>
  </definedNames>
  <calcPr calcId="125725"/>
</workbook>
</file>

<file path=xl/calcChain.xml><?xml version="1.0" encoding="utf-8"?>
<calcChain xmlns="http://schemas.openxmlformats.org/spreadsheetml/2006/main">
  <c r="E25" i="5"/>
  <c r="E26" s="1"/>
</calcChain>
</file>

<file path=xl/sharedStrings.xml><?xml version="1.0" encoding="utf-8"?>
<sst xmlns="http://schemas.openxmlformats.org/spreadsheetml/2006/main" count="141" uniqueCount="92">
  <si>
    <t xml:space="preserve">Flames of War Army Roster Sheet </t>
  </si>
  <si>
    <t xml:space="preserve">Headquarters Platoon </t>
  </si>
  <si>
    <t>Motivation</t>
  </si>
  <si>
    <t>Experience</t>
  </si>
  <si>
    <t>Command Distance</t>
  </si>
  <si>
    <t xml:space="preserve">Points </t>
  </si>
  <si>
    <t xml:space="preserve">Notes </t>
  </si>
  <si>
    <t>Combat Platoons</t>
  </si>
  <si>
    <t>Weapons Platoons</t>
  </si>
  <si>
    <t>Supporting Platoons</t>
  </si>
  <si>
    <t xml:space="preserve">Company totals </t>
  </si>
  <si>
    <t>Platoons</t>
  </si>
  <si>
    <t>Infantry and Guns</t>
  </si>
  <si>
    <t>Mobility</t>
  </si>
  <si>
    <t xml:space="preserve">Range </t>
  </si>
  <si>
    <t xml:space="preserve">ROF </t>
  </si>
  <si>
    <t xml:space="preserve">Anti-tank </t>
  </si>
  <si>
    <t>Firepower</t>
  </si>
  <si>
    <t>Tanks and Guns</t>
  </si>
  <si>
    <t xml:space="preserve">FRONT ROF </t>
  </si>
  <si>
    <t xml:space="preserve">SIDE   Anti-tank </t>
  </si>
  <si>
    <t>TOP Firepower</t>
  </si>
  <si>
    <t xml:space="preserve">City, State: </t>
  </si>
  <si>
    <t>V</t>
  </si>
  <si>
    <t>C</t>
  </si>
  <si>
    <t>3+</t>
  </si>
  <si>
    <t>Slow Tank</t>
  </si>
  <si>
    <t>2+</t>
  </si>
  <si>
    <t>5+</t>
  </si>
  <si>
    <t>R</t>
  </si>
  <si>
    <t>Light</t>
  </si>
  <si>
    <t>-</t>
  </si>
  <si>
    <t>MG team</t>
  </si>
  <si>
    <t>4+</t>
  </si>
  <si>
    <t>Smoke, Can fire over friendly teams</t>
  </si>
  <si>
    <t>Name: Javier Tenajas</t>
  </si>
  <si>
    <t>Email:  tenapolo@gmail.com</t>
  </si>
  <si>
    <t>Club: Check Six</t>
  </si>
  <si>
    <t>Book or PDF Reference:  Führer Brigades (pdf)</t>
  </si>
  <si>
    <t>Army:  Führer Panzerkompanie (Führerbegleitbrigade)</t>
  </si>
  <si>
    <t>Führer Panzerkompanie HQ</t>
  </si>
  <si>
    <t>Führer Panzer Platoon</t>
  </si>
  <si>
    <t>4 x Panzer IV J, Hitler´s Guards</t>
  </si>
  <si>
    <t>Assault Gun Platoon</t>
  </si>
  <si>
    <t>Führer Panzerspäh Platoon</t>
  </si>
  <si>
    <t>T</t>
  </si>
  <si>
    <t>2 x 8 rad, Hitler´s Guards</t>
  </si>
  <si>
    <t>3 x Stuh 42 with assault rifle tank scorts</t>
  </si>
  <si>
    <t>1 x Panzer IV J, Hitler´s Guards (repetir chequeos de moral de pelotón y de compañía)</t>
  </si>
  <si>
    <t>Volks Rocket Launcher Battery</t>
  </si>
  <si>
    <t>Führer Panzergrenadier Platoon</t>
  </si>
  <si>
    <t>ROF 2 when Pinned Down</t>
  </si>
  <si>
    <t>Panzerfaust team</t>
  </si>
  <si>
    <t>10 cm</t>
  </si>
  <si>
    <t>40 cm</t>
  </si>
  <si>
    <t>Assault Rifle team</t>
  </si>
  <si>
    <t>20 cm</t>
  </si>
  <si>
    <t>6+</t>
  </si>
  <si>
    <t>Full ROF when moving</t>
  </si>
  <si>
    <t>15 cm NW41 Rocket Launcher</t>
  </si>
  <si>
    <t>160 cm</t>
  </si>
  <si>
    <t>Rocket Launcher, Smoke bombardment</t>
  </si>
  <si>
    <t>Panzer IV J</t>
  </si>
  <si>
    <t>Standard Tank</t>
  </si>
  <si>
    <t>Co-ax MG, Hull MG, Protected ammo, Schürzen</t>
  </si>
  <si>
    <t>7.5 cm KwK40 gun</t>
  </si>
  <si>
    <t>80 cm</t>
  </si>
  <si>
    <t>Slow Traverse</t>
  </si>
  <si>
    <t>Panzer IV/70 (A)</t>
  </si>
  <si>
    <t>Hull MG, Overloaded, Schürzen</t>
  </si>
  <si>
    <t>7.5 cm KwK42 gun</t>
  </si>
  <si>
    <t>Hull mounted</t>
  </si>
  <si>
    <t>StuH 42</t>
  </si>
  <si>
    <t>10.5 cm StuH42 gun</t>
  </si>
  <si>
    <t xml:space="preserve">80 cm </t>
  </si>
  <si>
    <t>Hull mounted, Breaktrough gun, Smoke</t>
  </si>
  <si>
    <t>Schwimmwagen Panzerfaust/MG Team</t>
  </si>
  <si>
    <t>Jeep</t>
  </si>
  <si>
    <t>When firing as MG</t>
  </si>
  <si>
    <t>When firing as Panzerfaust</t>
  </si>
  <si>
    <t>Motorcycle reconnaissance, Amphibious, Dismount as a Panzerfaust/MG Team</t>
  </si>
  <si>
    <t>Hull Mounted, Vehicle MG</t>
  </si>
  <si>
    <t>Awkward Layout</t>
  </si>
  <si>
    <t>3 x Panzer IV/70 (A),  Hitler´s Guards</t>
  </si>
  <si>
    <t>Sd Kfz 231 (8-rad)</t>
  </si>
  <si>
    <t>Co-ax MG, Recce</t>
  </si>
  <si>
    <t>2cm Kwk38 gun</t>
  </si>
  <si>
    <t>Hull MG, Protected ammo, Schürzen, Assault Rifle tank scort</t>
  </si>
  <si>
    <t>Command Schimmwagen Panzerfaust/MG team + 6 x Schimmwagen Panzerfaust/MG team, Hitler´s Guards</t>
  </si>
  <si>
    <t>Command SMG+ Observer Rifle+ 3 x NW41</t>
  </si>
  <si>
    <t>SMG team</t>
  </si>
  <si>
    <t>Rifle team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</si>
</sst>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sz val="16"/>
      <name val="Arial"/>
      <family val="2"/>
    </font>
    <font>
      <i/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8"/>
        <bgColor indexed="58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 wrapText="1"/>
    </xf>
    <xf numFmtId="0" fontId="0" fillId="3" borderId="0" xfId="0" applyFont="1" applyFill="1"/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0" fillId="0" borderId="3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Font="1" applyBorder="1" applyAlignment="1">
      <alignment horizontal="center" wrapText="1"/>
    </xf>
    <xf numFmtId="0" fontId="0" fillId="0" borderId="9" xfId="0" applyFont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3" fillId="4" borderId="9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V55"/>
  <sheetViews>
    <sheetView tabSelected="1" workbookViewId="0">
      <selection activeCell="G35" sqref="G35"/>
    </sheetView>
  </sheetViews>
  <sheetFormatPr baseColWidth="10" defaultColWidth="9.140625" defaultRowHeight="12.75"/>
  <cols>
    <col min="1" max="1" width="39.85546875" style="1" customWidth="1"/>
    <col min="2" max="2" width="11.7109375" style="1" customWidth="1"/>
    <col min="3" max="3" width="10.28515625" style="1" customWidth="1"/>
    <col min="4" max="4" width="9.5703125" style="2" customWidth="1"/>
    <col min="5" max="5" width="9.5703125" style="1" customWidth="1"/>
    <col min="6" max="6" width="12.28515625" style="3" customWidth="1"/>
    <col min="7" max="8" width="102.42578125" style="3" customWidth="1"/>
    <col min="9" max="9" width="9.140625" style="3" customWidth="1"/>
    <col min="10" max="228" width="9.140625" style="4" customWidth="1"/>
    <col min="229" max="16384" width="9.140625" style="3"/>
  </cols>
  <sheetData>
    <row r="1" spans="1:256" ht="20.25">
      <c r="A1" s="13" t="s">
        <v>0</v>
      </c>
      <c r="B1" s="13"/>
      <c r="C1" s="13"/>
      <c r="D1" s="13"/>
      <c r="E1" s="13"/>
      <c r="F1" s="13"/>
      <c r="G1" s="13"/>
      <c r="H1" s="1"/>
      <c r="I1" s="1"/>
    </row>
    <row r="2" spans="1:256" ht="20.25">
      <c r="A2" s="14" t="s">
        <v>35</v>
      </c>
      <c r="B2" s="14"/>
      <c r="C2" s="14"/>
      <c r="D2" s="14"/>
      <c r="E2" s="15" t="s">
        <v>39</v>
      </c>
      <c r="F2" s="15"/>
      <c r="G2" s="15"/>
      <c r="H2" s="1"/>
      <c r="I2" s="1"/>
    </row>
    <row r="3" spans="1:256" ht="20.25">
      <c r="A3" s="16" t="s">
        <v>36</v>
      </c>
      <c r="B3" s="16"/>
      <c r="C3" s="16"/>
      <c r="D3" s="17"/>
      <c r="E3" s="18" t="s">
        <v>38</v>
      </c>
      <c r="F3" s="19"/>
      <c r="G3" s="20"/>
      <c r="H3" s="1"/>
      <c r="I3" s="1"/>
    </row>
    <row r="4" spans="1:256" ht="20.25">
      <c r="A4" s="16" t="s">
        <v>37</v>
      </c>
      <c r="B4" s="16"/>
      <c r="C4" s="16"/>
      <c r="D4" s="16"/>
      <c r="E4" s="18" t="s">
        <v>22</v>
      </c>
      <c r="F4" s="19"/>
      <c r="G4" s="20"/>
      <c r="H4" s="1"/>
      <c r="I4" s="1"/>
    </row>
    <row r="5" spans="1:256" ht="25.5">
      <c r="A5" s="5" t="s">
        <v>1</v>
      </c>
      <c r="B5" s="5" t="s">
        <v>2</v>
      </c>
      <c r="C5" s="5" t="s">
        <v>3</v>
      </c>
      <c r="D5" s="6" t="s">
        <v>4</v>
      </c>
      <c r="E5" s="5" t="s">
        <v>5</v>
      </c>
      <c r="F5" s="5"/>
      <c r="G5" s="5" t="s">
        <v>6</v>
      </c>
      <c r="H5" s="1"/>
      <c r="I5" s="1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</row>
    <row r="6" spans="1:256">
      <c r="A6" s="12" t="s">
        <v>40</v>
      </c>
      <c r="B6" s="8" t="s">
        <v>24</v>
      </c>
      <c r="C6" s="8" t="s">
        <v>23</v>
      </c>
      <c r="D6" s="9">
        <v>20</v>
      </c>
      <c r="E6" s="8">
        <v>95</v>
      </c>
      <c r="F6" s="1"/>
      <c r="G6" s="21" t="s">
        <v>48</v>
      </c>
      <c r="H6" s="1"/>
      <c r="I6" s="1"/>
    </row>
    <row r="7" spans="1:256">
      <c r="A7" s="8"/>
      <c r="B7" s="8"/>
      <c r="C7" s="8"/>
      <c r="D7" s="9"/>
      <c r="E7" s="8"/>
      <c r="F7" s="1"/>
      <c r="G7" s="22"/>
      <c r="H7" s="1"/>
      <c r="I7" s="1"/>
    </row>
    <row r="8" spans="1:256">
      <c r="A8" s="8"/>
      <c r="B8" s="8"/>
      <c r="C8" s="8"/>
      <c r="D8" s="9"/>
      <c r="E8" s="8"/>
      <c r="F8" s="1"/>
      <c r="G8" s="22"/>
      <c r="H8" s="1"/>
      <c r="I8" s="1"/>
    </row>
    <row r="9" spans="1:256" ht="25.5">
      <c r="A9" s="5" t="s">
        <v>7</v>
      </c>
      <c r="B9" s="5" t="s">
        <v>2</v>
      </c>
      <c r="C9" s="5" t="s">
        <v>3</v>
      </c>
      <c r="D9" s="6" t="s">
        <v>4</v>
      </c>
      <c r="E9" s="5" t="s">
        <v>5</v>
      </c>
      <c r="F9" s="5"/>
      <c r="G9" s="5" t="s">
        <v>6</v>
      </c>
      <c r="H9" s="1"/>
      <c r="I9" s="1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</row>
    <row r="10" spans="1:256">
      <c r="A10" s="12" t="s">
        <v>41</v>
      </c>
      <c r="B10" s="8" t="s">
        <v>24</v>
      </c>
      <c r="C10" s="8" t="s">
        <v>23</v>
      </c>
      <c r="D10" s="9">
        <v>20</v>
      </c>
      <c r="E10" s="8">
        <v>360</v>
      </c>
      <c r="F10" s="1"/>
      <c r="G10" s="21" t="s">
        <v>42</v>
      </c>
      <c r="H10" s="1"/>
      <c r="I10" s="1"/>
    </row>
    <row r="11" spans="1:256">
      <c r="A11" s="12" t="s">
        <v>41</v>
      </c>
      <c r="B11" s="8" t="s">
        <v>24</v>
      </c>
      <c r="C11" s="8" t="s">
        <v>23</v>
      </c>
      <c r="D11" s="9">
        <v>20</v>
      </c>
      <c r="E11" s="8">
        <v>415</v>
      </c>
      <c r="F11" s="1"/>
      <c r="G11" s="21" t="s">
        <v>83</v>
      </c>
      <c r="H11" s="1"/>
      <c r="I11" s="1"/>
    </row>
    <row r="12" spans="1:256">
      <c r="A12" s="8"/>
      <c r="B12" s="8"/>
      <c r="C12" s="8"/>
      <c r="D12" s="9"/>
      <c r="E12" s="8"/>
      <c r="F12" s="1"/>
      <c r="G12" s="22"/>
      <c r="H12" s="1"/>
      <c r="I12" s="1"/>
    </row>
    <row r="13" spans="1:256">
      <c r="A13" s="8"/>
      <c r="B13" s="8"/>
      <c r="C13" s="8"/>
      <c r="D13" s="9"/>
      <c r="E13" s="8"/>
      <c r="F13" s="1"/>
      <c r="G13" s="22"/>
      <c r="H13" s="1"/>
      <c r="I13" s="1"/>
    </row>
    <row r="14" spans="1:256">
      <c r="A14" s="8"/>
      <c r="B14" s="8"/>
      <c r="C14" s="8"/>
      <c r="D14" s="9"/>
      <c r="E14" s="8"/>
      <c r="F14" s="1"/>
      <c r="G14" s="22"/>
      <c r="H14" s="1"/>
      <c r="I14" s="1"/>
    </row>
    <row r="15" spans="1:256" ht="25.5">
      <c r="A15" s="5" t="s">
        <v>8</v>
      </c>
      <c r="B15" s="5" t="s">
        <v>2</v>
      </c>
      <c r="C15" s="5" t="s">
        <v>3</v>
      </c>
      <c r="D15" s="6" t="s">
        <v>4</v>
      </c>
      <c r="E15" s="5" t="s">
        <v>5</v>
      </c>
      <c r="F15" s="5"/>
      <c r="G15" s="5" t="s">
        <v>6</v>
      </c>
      <c r="H15" s="1"/>
      <c r="I15" s="1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</row>
    <row r="16" spans="1:256">
      <c r="A16" s="12" t="s">
        <v>43</v>
      </c>
      <c r="B16" s="8" t="s">
        <v>24</v>
      </c>
      <c r="C16" s="12" t="s">
        <v>45</v>
      </c>
      <c r="D16" s="9">
        <v>15</v>
      </c>
      <c r="E16" s="8">
        <v>255</v>
      </c>
      <c r="F16" s="1"/>
      <c r="G16" s="21" t="s">
        <v>47</v>
      </c>
      <c r="H16" s="1"/>
      <c r="I16" s="1"/>
    </row>
    <row r="17" spans="1:256">
      <c r="A17" s="12"/>
      <c r="B17" s="8"/>
      <c r="C17" s="12"/>
      <c r="D17" s="9"/>
      <c r="E17" s="8"/>
      <c r="F17" s="1"/>
      <c r="G17" s="21"/>
      <c r="H17" s="1"/>
      <c r="I17" s="1"/>
    </row>
    <row r="18" spans="1:256">
      <c r="A18" s="12"/>
      <c r="B18" s="8"/>
      <c r="C18" s="12"/>
      <c r="D18" s="9"/>
      <c r="E18" s="8"/>
      <c r="F18" s="1"/>
      <c r="G18" s="21"/>
      <c r="H18" s="1"/>
      <c r="I18" s="1"/>
    </row>
    <row r="19" spans="1:256">
      <c r="A19" s="12"/>
      <c r="B19" s="12"/>
      <c r="C19" s="12"/>
      <c r="D19" s="9"/>
      <c r="E19" s="8"/>
      <c r="F19" s="1"/>
      <c r="G19" s="21"/>
      <c r="H19" s="1"/>
      <c r="I19" s="1"/>
    </row>
    <row r="20" spans="1:256">
      <c r="A20" s="8"/>
      <c r="B20" s="8"/>
      <c r="C20" s="8"/>
      <c r="D20" s="9"/>
      <c r="E20" s="8"/>
      <c r="F20" s="1"/>
      <c r="G20" s="22"/>
      <c r="H20" s="1"/>
      <c r="I20" s="1"/>
    </row>
    <row r="21" spans="1:256" ht="25.5">
      <c r="A21" s="5" t="s">
        <v>9</v>
      </c>
      <c r="B21" s="5" t="s">
        <v>2</v>
      </c>
      <c r="C21" s="5" t="s">
        <v>3</v>
      </c>
      <c r="D21" s="6" t="s">
        <v>4</v>
      </c>
      <c r="E21" s="5" t="s">
        <v>5</v>
      </c>
      <c r="F21" s="5"/>
      <c r="G21" s="5" t="s">
        <v>6</v>
      </c>
      <c r="H21" s="1"/>
      <c r="I21" s="1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</row>
    <row r="22" spans="1:256">
      <c r="A22" s="12" t="s">
        <v>44</v>
      </c>
      <c r="B22" s="8" t="s">
        <v>24</v>
      </c>
      <c r="C22" s="12" t="s">
        <v>45</v>
      </c>
      <c r="D22" s="9">
        <v>15</v>
      </c>
      <c r="E22" s="8">
        <v>55</v>
      </c>
      <c r="F22" s="1"/>
      <c r="G22" s="21" t="s">
        <v>46</v>
      </c>
      <c r="H22" s="1"/>
      <c r="I22" s="1"/>
    </row>
    <row r="23" spans="1:256">
      <c r="A23" s="12" t="s">
        <v>50</v>
      </c>
      <c r="B23" s="8" t="s">
        <v>24</v>
      </c>
      <c r="C23" s="12" t="s">
        <v>45</v>
      </c>
      <c r="D23" s="9">
        <v>10</v>
      </c>
      <c r="E23" s="8">
        <v>250</v>
      </c>
      <c r="F23" s="1"/>
      <c r="G23" s="21" t="s">
        <v>88</v>
      </c>
      <c r="H23" s="1"/>
      <c r="I23" s="1"/>
    </row>
    <row r="24" spans="1:256" ht="13.5" thickBot="1">
      <c r="A24" s="12" t="s">
        <v>49</v>
      </c>
      <c r="B24" s="12" t="s">
        <v>29</v>
      </c>
      <c r="C24" s="12" t="s">
        <v>45</v>
      </c>
      <c r="D24" s="9">
        <v>10</v>
      </c>
      <c r="E24" s="8">
        <v>70</v>
      </c>
      <c r="F24" s="1"/>
      <c r="G24" s="21" t="s">
        <v>89</v>
      </c>
      <c r="H24" s="1"/>
      <c r="I24" s="1"/>
    </row>
    <row r="25" spans="1:256" ht="13.5" thickBot="1">
      <c r="A25" s="5" t="s">
        <v>10</v>
      </c>
      <c r="B25" s="5" t="s">
        <v>11</v>
      </c>
      <c r="C25" s="10">
        <v>6</v>
      </c>
      <c r="D25" s="6" t="s">
        <v>5</v>
      </c>
      <c r="E25" s="10">
        <f>SUM(E6:E8,E10:E14,E16:E20,E22:E24)</f>
        <v>1500</v>
      </c>
      <c r="F25" s="5"/>
      <c r="G25" s="5"/>
      <c r="H25" s="1"/>
      <c r="I25" s="1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</row>
    <row r="26" spans="1:256">
      <c r="E26" s="1">
        <f>1500-E25</f>
        <v>0</v>
      </c>
      <c r="F26" s="1"/>
      <c r="G26" s="1"/>
      <c r="H26" s="1"/>
      <c r="I26" s="1"/>
    </row>
    <row r="27" spans="1:256" s="11" customFormat="1">
      <c r="A27" s="31" t="s">
        <v>12</v>
      </c>
      <c r="B27" s="31" t="s">
        <v>13</v>
      </c>
      <c r="C27" s="31" t="s">
        <v>14</v>
      </c>
      <c r="D27" s="32" t="s">
        <v>15</v>
      </c>
      <c r="E27" s="31" t="s">
        <v>16</v>
      </c>
      <c r="F27" s="31" t="s">
        <v>17</v>
      </c>
      <c r="G27" s="31" t="s">
        <v>6</v>
      </c>
      <c r="H27" s="1"/>
      <c r="I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</row>
    <row r="28" spans="1:256" s="11" customFormat="1">
      <c r="A28" s="23" t="s">
        <v>32</v>
      </c>
      <c r="B28" s="23"/>
      <c r="C28" s="23" t="s">
        <v>54</v>
      </c>
      <c r="D28" s="24">
        <v>3</v>
      </c>
      <c r="E28" s="25">
        <v>2</v>
      </c>
      <c r="F28" s="25">
        <v>6</v>
      </c>
      <c r="G28" s="23" t="s">
        <v>51</v>
      </c>
      <c r="H28" s="1"/>
      <c r="I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</row>
    <row r="29" spans="1:256">
      <c r="A29" s="23" t="s">
        <v>52</v>
      </c>
      <c r="B29" s="23"/>
      <c r="C29" s="23" t="s">
        <v>53</v>
      </c>
      <c r="D29" s="24">
        <v>1</v>
      </c>
      <c r="E29" s="25">
        <v>12</v>
      </c>
      <c r="F29" s="23" t="s">
        <v>28</v>
      </c>
      <c r="G29" s="23" t="s">
        <v>34</v>
      </c>
      <c r="H29" s="1"/>
      <c r="I29" s="1"/>
    </row>
    <row r="30" spans="1:256">
      <c r="A30" s="23" t="s">
        <v>55</v>
      </c>
      <c r="B30" s="23"/>
      <c r="C30" s="23" t="s">
        <v>56</v>
      </c>
      <c r="D30" s="24">
        <v>3</v>
      </c>
      <c r="E30" s="25">
        <v>1</v>
      </c>
      <c r="F30" s="23" t="s">
        <v>57</v>
      </c>
      <c r="G30" s="23" t="s">
        <v>58</v>
      </c>
      <c r="H30" s="1"/>
      <c r="I30" s="1"/>
    </row>
    <row r="31" spans="1:256">
      <c r="A31" s="23" t="s">
        <v>59</v>
      </c>
      <c r="B31" s="23" t="s">
        <v>30</v>
      </c>
      <c r="C31" s="23" t="s">
        <v>60</v>
      </c>
      <c r="D31" s="26" t="s">
        <v>31</v>
      </c>
      <c r="E31" s="25">
        <v>3</v>
      </c>
      <c r="F31" s="23" t="s">
        <v>33</v>
      </c>
      <c r="G31" s="23" t="s">
        <v>61</v>
      </c>
      <c r="H31" s="1"/>
      <c r="I31" s="1"/>
    </row>
    <row r="32" spans="1:256">
      <c r="A32" s="23" t="s">
        <v>90</v>
      </c>
      <c r="B32" s="25"/>
      <c r="C32" s="23" t="s">
        <v>53</v>
      </c>
      <c r="D32" s="24">
        <v>3</v>
      </c>
      <c r="E32" s="25">
        <v>1</v>
      </c>
      <c r="F32" s="23" t="s">
        <v>57</v>
      </c>
      <c r="G32" s="23" t="s">
        <v>58</v>
      </c>
      <c r="H32" s="1"/>
      <c r="I32" s="1"/>
    </row>
    <row r="33" spans="1:256">
      <c r="A33" s="23" t="s">
        <v>91</v>
      </c>
      <c r="B33" s="25"/>
      <c r="C33" s="23" t="s">
        <v>54</v>
      </c>
      <c r="D33" s="24">
        <v>1</v>
      </c>
      <c r="E33" s="25">
        <v>2</v>
      </c>
      <c r="F33" s="25">
        <v>6</v>
      </c>
      <c r="G33" s="23" t="s">
        <v>51</v>
      </c>
      <c r="H33" s="1"/>
      <c r="I33" s="1"/>
    </row>
    <row r="34" spans="1:256">
      <c r="A34" s="25"/>
      <c r="B34" s="25"/>
      <c r="C34" s="25"/>
      <c r="D34" s="24"/>
      <c r="E34" s="25"/>
      <c r="F34" s="25"/>
      <c r="G34" s="25"/>
      <c r="H34" s="1"/>
      <c r="I34" s="1"/>
    </row>
    <row r="35" spans="1:256">
      <c r="A35" s="25"/>
      <c r="B35" s="25"/>
      <c r="C35" s="25"/>
      <c r="D35" s="24"/>
      <c r="E35" s="25"/>
      <c r="F35" s="25"/>
      <c r="G35" s="25"/>
      <c r="H35" s="1"/>
      <c r="I35" s="1"/>
    </row>
    <row r="36" spans="1:256">
      <c r="A36" s="25"/>
      <c r="B36" s="25"/>
      <c r="C36" s="25"/>
      <c r="D36" s="24"/>
      <c r="E36" s="25"/>
      <c r="F36" s="25"/>
      <c r="G36" s="25"/>
      <c r="H36" s="1"/>
      <c r="I36" s="1"/>
    </row>
    <row r="37" spans="1:256">
      <c r="A37" s="25"/>
      <c r="B37" s="25"/>
      <c r="C37" s="25"/>
      <c r="D37" s="25"/>
      <c r="E37" s="25"/>
      <c r="F37" s="25"/>
      <c r="G37" s="25"/>
      <c r="H37" s="1"/>
      <c r="I37" s="1"/>
    </row>
    <row r="38" spans="1:256" s="11" customFormat="1" ht="38.25">
      <c r="A38" s="31" t="s">
        <v>18</v>
      </c>
      <c r="B38" s="31" t="s">
        <v>13</v>
      </c>
      <c r="C38" s="31" t="s">
        <v>14</v>
      </c>
      <c r="D38" s="32" t="s">
        <v>19</v>
      </c>
      <c r="E38" s="32" t="s">
        <v>20</v>
      </c>
      <c r="F38" s="32" t="s">
        <v>21</v>
      </c>
      <c r="G38" s="31" t="s">
        <v>6</v>
      </c>
      <c r="H38" s="1"/>
      <c r="I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</row>
    <row r="39" spans="1:256" ht="25.5">
      <c r="A39" s="27" t="s">
        <v>62</v>
      </c>
      <c r="B39" s="28" t="s">
        <v>63</v>
      </c>
      <c r="C39" s="29"/>
      <c r="D39" s="29">
        <v>6</v>
      </c>
      <c r="E39" s="29">
        <v>3</v>
      </c>
      <c r="F39" s="29">
        <v>1</v>
      </c>
      <c r="G39" s="28" t="s">
        <v>64</v>
      </c>
      <c r="H39" s="1"/>
      <c r="I39" s="1"/>
    </row>
    <row r="40" spans="1:256" s="4" customFormat="1">
      <c r="A40" s="30" t="s">
        <v>65</v>
      </c>
      <c r="B40" s="30"/>
      <c r="C40" s="30" t="s">
        <v>66</v>
      </c>
      <c r="D40" s="30">
        <v>2</v>
      </c>
      <c r="E40" s="30">
        <v>11</v>
      </c>
      <c r="F40" s="30" t="s">
        <v>25</v>
      </c>
      <c r="G40" s="30" t="s">
        <v>67</v>
      </c>
      <c r="H40" s="11"/>
      <c r="I40" s="11"/>
    </row>
    <row r="41" spans="1:256" s="4" customFormat="1">
      <c r="A41" s="27" t="s">
        <v>68</v>
      </c>
      <c r="B41" s="28" t="s">
        <v>26</v>
      </c>
      <c r="C41" s="29"/>
      <c r="D41" s="29">
        <v>8</v>
      </c>
      <c r="E41" s="29">
        <v>3</v>
      </c>
      <c r="F41" s="29">
        <v>1</v>
      </c>
      <c r="G41" s="28" t="s">
        <v>69</v>
      </c>
      <c r="H41" s="11"/>
      <c r="I41" s="11"/>
    </row>
    <row r="42" spans="1:256" s="4" customFormat="1">
      <c r="A42" s="30" t="s">
        <v>70</v>
      </c>
      <c r="B42" s="30"/>
      <c r="C42" s="30" t="s">
        <v>66</v>
      </c>
      <c r="D42" s="30">
        <v>2</v>
      </c>
      <c r="E42" s="30">
        <v>14</v>
      </c>
      <c r="F42" s="30" t="s">
        <v>25</v>
      </c>
      <c r="G42" s="30" t="s">
        <v>71</v>
      </c>
      <c r="H42" s="11"/>
      <c r="I42" s="11"/>
    </row>
    <row r="43" spans="1:256" s="4" customFormat="1" ht="25.5">
      <c r="A43" s="27" t="s">
        <v>72</v>
      </c>
      <c r="B43" s="28" t="s">
        <v>63</v>
      </c>
      <c r="C43" s="29"/>
      <c r="D43" s="29">
        <v>7</v>
      </c>
      <c r="E43" s="29">
        <v>3</v>
      </c>
      <c r="F43" s="29">
        <v>1</v>
      </c>
      <c r="G43" s="28" t="s">
        <v>87</v>
      </c>
    </row>
    <row r="44" spans="1:256" s="4" customFormat="1">
      <c r="A44" s="30" t="s">
        <v>73</v>
      </c>
      <c r="B44" s="30"/>
      <c r="C44" s="30" t="s">
        <v>74</v>
      </c>
      <c r="D44" s="30">
        <v>2</v>
      </c>
      <c r="E44" s="30">
        <v>10</v>
      </c>
      <c r="F44" s="30" t="s">
        <v>27</v>
      </c>
      <c r="G44" s="30" t="s">
        <v>75</v>
      </c>
    </row>
    <row r="45" spans="1:256" s="4" customFormat="1">
      <c r="A45" s="27" t="s">
        <v>76</v>
      </c>
      <c r="B45" s="28" t="s">
        <v>77</v>
      </c>
      <c r="C45" s="29"/>
      <c r="D45" s="28" t="s">
        <v>31</v>
      </c>
      <c r="E45" s="29" t="s">
        <v>31</v>
      </c>
      <c r="F45" s="28" t="s">
        <v>31</v>
      </c>
      <c r="G45" s="28" t="s">
        <v>80</v>
      </c>
    </row>
    <row r="46" spans="1:256" s="4" customFormat="1">
      <c r="A46" s="30" t="s">
        <v>78</v>
      </c>
      <c r="B46" s="30"/>
      <c r="C46" s="30" t="s">
        <v>54</v>
      </c>
      <c r="D46" s="30">
        <v>3</v>
      </c>
      <c r="E46" s="30">
        <v>2</v>
      </c>
      <c r="F46" s="30" t="s">
        <v>57</v>
      </c>
      <c r="G46" s="30" t="s">
        <v>81</v>
      </c>
    </row>
    <row r="47" spans="1:256" s="4" customFormat="1">
      <c r="A47" s="30" t="s">
        <v>79</v>
      </c>
      <c r="B47" s="30"/>
      <c r="C47" s="30" t="s">
        <v>53</v>
      </c>
      <c r="D47" s="30">
        <v>1</v>
      </c>
      <c r="E47" s="30">
        <v>12</v>
      </c>
      <c r="F47" s="30" t="s">
        <v>28</v>
      </c>
      <c r="G47" s="30" t="s">
        <v>82</v>
      </c>
    </row>
    <row r="48" spans="1:256" s="4" customFormat="1">
      <c r="A48" s="27" t="s">
        <v>84</v>
      </c>
      <c r="B48" s="28" t="s">
        <v>77</v>
      </c>
      <c r="C48" s="29"/>
      <c r="D48" s="29">
        <v>2</v>
      </c>
      <c r="E48" s="29">
        <v>0</v>
      </c>
      <c r="F48" s="29">
        <v>0</v>
      </c>
      <c r="G48" s="28" t="s">
        <v>85</v>
      </c>
    </row>
    <row r="49" spans="1:7" s="4" customFormat="1">
      <c r="A49" s="33" t="s">
        <v>86</v>
      </c>
      <c r="B49" s="33"/>
      <c r="C49" s="33" t="s">
        <v>54</v>
      </c>
      <c r="D49" s="33">
        <v>3</v>
      </c>
      <c r="E49" s="33">
        <v>5</v>
      </c>
      <c r="F49" s="33" t="s">
        <v>28</v>
      </c>
      <c r="G49" s="33"/>
    </row>
    <row r="50" spans="1:7" s="4" customFormat="1">
      <c r="A50" s="2"/>
      <c r="B50" s="2"/>
      <c r="C50" s="2"/>
      <c r="D50" s="2"/>
      <c r="E50" s="2"/>
      <c r="F50" s="2"/>
      <c r="G50" s="2"/>
    </row>
    <row r="51" spans="1:7" s="4" customFormat="1">
      <c r="A51" s="2"/>
      <c r="B51" s="2"/>
      <c r="C51" s="2"/>
      <c r="D51" s="2"/>
      <c r="E51" s="2"/>
      <c r="F51" s="2"/>
      <c r="G51" s="2"/>
    </row>
    <row r="52" spans="1:7" s="4" customFormat="1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E53" s="2"/>
      <c r="F53" s="2"/>
      <c r="G53" s="2"/>
    </row>
    <row r="54" spans="1:7">
      <c r="A54" s="2"/>
      <c r="B54" s="2"/>
      <c r="C54" s="2"/>
      <c r="E54" s="2"/>
      <c r="F54" s="2"/>
      <c r="G54" s="2"/>
    </row>
    <row r="55" spans="1:7">
      <c r="A55" s="2"/>
      <c r="B55" s="2"/>
      <c r="C55" s="2"/>
      <c r="E55" s="2"/>
      <c r="F55" s="2"/>
      <c r="G55" s="2"/>
    </row>
  </sheetData>
  <mergeCells count="7">
    <mergeCell ref="A4:D4"/>
    <mergeCell ref="E4:G4"/>
    <mergeCell ref="A1:G1"/>
    <mergeCell ref="A2:D2"/>
    <mergeCell ref="E2:G2"/>
    <mergeCell ref="A3:D3"/>
    <mergeCell ref="E3:G3"/>
  </mergeCells>
  <pageMargins left="0.74791666666666667" right="0.74791666666666667" top="0.98402777777777772" bottom="0.98402777777777772" header="0.51180555555555551" footer="0.51180555555555551"/>
  <pageSetup paperSize="9" scale="45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Aliados</vt:lpstr>
      <vt:lpstr>Aliados!Área_de_impresión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Joekr</dc:creator>
  <cp:lastModifiedBy>2969</cp:lastModifiedBy>
  <cp:lastPrinted>2016-01-07T09:08:51Z</cp:lastPrinted>
  <dcterms:created xsi:type="dcterms:W3CDTF">2010-12-15T14:49:21Z</dcterms:created>
  <dcterms:modified xsi:type="dcterms:W3CDTF">2016-01-07T09:18:43Z</dcterms:modified>
</cp:coreProperties>
</file>